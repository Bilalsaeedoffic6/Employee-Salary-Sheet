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08a5c447a63ad04/Documents/"/>
    </mc:Choice>
  </mc:AlternateContent>
  <xr:revisionPtr revIDLastSave="9" documentId="13_ncr:1_{960436C9-A191-4ECF-AAB3-1929A12423A5}" xr6:coauthVersionLast="47" xr6:coauthVersionMax="47" xr10:uidLastSave="{8F9276D4-5850-4E32-9658-01173CA7EFB7}"/>
  <bookViews>
    <workbookView xWindow="-110" yWindow="-110" windowWidth="19420" windowHeight="10300" tabRatio="597" xr2:uid="{CD4479FD-D84B-42E3-BC97-3D4138E29A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1" l="1"/>
  <c r="N9" i="1"/>
  <c r="L6" i="1"/>
  <c r="K6" i="1"/>
  <c r="N7" i="1"/>
  <c r="N8" i="1"/>
  <c r="N10" i="1"/>
  <c r="N15" i="1"/>
  <c r="N16" i="1"/>
  <c r="N17" i="1"/>
  <c r="N18" i="1"/>
  <c r="N23" i="1"/>
  <c r="N24" i="1"/>
  <c r="M5" i="1"/>
  <c r="M8" i="1"/>
  <c r="M10" i="1"/>
  <c r="M11" i="1"/>
  <c r="M12" i="1"/>
  <c r="M13" i="1"/>
  <c r="M16" i="1"/>
  <c r="M18" i="1"/>
  <c r="M19" i="1"/>
  <c r="M20" i="1"/>
  <c r="M21" i="1"/>
  <c r="M24" i="1"/>
  <c r="L7" i="1"/>
  <c r="L8" i="1"/>
  <c r="O8" i="1" s="1"/>
  <c r="L15" i="1"/>
  <c r="L16" i="1"/>
  <c r="O16" i="1" s="1"/>
  <c r="L23" i="1"/>
  <c r="L24" i="1"/>
  <c r="O24" i="1" s="1"/>
  <c r="K9" i="1"/>
  <c r="K5" i="1"/>
  <c r="K7" i="1"/>
  <c r="K12" i="1"/>
  <c r="K13" i="1"/>
  <c r="K14" i="1"/>
  <c r="K15" i="1"/>
  <c r="K20" i="1"/>
  <c r="K21" i="1"/>
  <c r="K22" i="1"/>
  <c r="K23" i="1"/>
  <c r="K8" i="1"/>
  <c r="K10" i="1"/>
  <c r="K11" i="1"/>
  <c r="K16" i="1"/>
  <c r="K17" i="1"/>
  <c r="K18" i="1"/>
  <c r="K19" i="1"/>
  <c r="K24" i="1"/>
  <c r="K4" i="1"/>
  <c r="F5" i="1"/>
  <c r="N5" i="1" s="1"/>
  <c r="F6" i="1"/>
  <c r="F7" i="1"/>
  <c r="M7" i="1" s="1"/>
  <c r="O7" i="1" s="1"/>
  <c r="F8" i="1"/>
  <c r="F9" i="1"/>
  <c r="L9" i="1" s="1"/>
  <c r="F10" i="1"/>
  <c r="L10" i="1" s="1"/>
  <c r="O10" i="1" s="1"/>
  <c r="F11" i="1"/>
  <c r="N11" i="1" s="1"/>
  <c r="F12" i="1"/>
  <c r="N12" i="1" s="1"/>
  <c r="F13" i="1"/>
  <c r="L13" i="1" s="1"/>
  <c r="F14" i="1"/>
  <c r="M14" i="1" s="1"/>
  <c r="F15" i="1"/>
  <c r="M15" i="1" s="1"/>
  <c r="O15" i="1" s="1"/>
  <c r="F16" i="1"/>
  <c r="F17" i="1"/>
  <c r="L17" i="1" s="1"/>
  <c r="F18" i="1"/>
  <c r="L18" i="1" s="1"/>
  <c r="O18" i="1" s="1"/>
  <c r="F19" i="1"/>
  <c r="N19" i="1" s="1"/>
  <c r="F20" i="1"/>
  <c r="N20" i="1" s="1"/>
  <c r="F21" i="1"/>
  <c r="N21" i="1" s="1"/>
  <c r="F22" i="1"/>
  <c r="M22" i="1" s="1"/>
  <c r="F23" i="1"/>
  <c r="M23" i="1" s="1"/>
  <c r="O23" i="1" s="1"/>
  <c r="F24" i="1"/>
  <c r="F4" i="1"/>
  <c r="L4" i="1" s="1"/>
  <c r="O4" i="1" l="1"/>
  <c r="L22" i="1"/>
  <c r="L21" i="1"/>
  <c r="O21" i="1" s="1"/>
  <c r="L5" i="1"/>
  <c r="O5" i="1" s="1"/>
  <c r="L20" i="1"/>
  <c r="O20" i="1" s="1"/>
  <c r="L12" i="1"/>
  <c r="O12" i="1" s="1"/>
  <c r="M4" i="1"/>
  <c r="M17" i="1"/>
  <c r="O17" i="1" s="1"/>
  <c r="M9" i="1"/>
  <c r="O9" i="1" s="1"/>
  <c r="N22" i="1"/>
  <c r="N14" i="1"/>
  <c r="N6" i="1"/>
  <c r="L11" i="1"/>
  <c r="O11" i="1" s="1"/>
  <c r="N13" i="1"/>
  <c r="O13" i="1" s="1"/>
  <c r="L14" i="1"/>
  <c r="L19" i="1"/>
  <c r="O19" i="1" s="1"/>
  <c r="O22" i="1" l="1"/>
  <c r="O6" i="1"/>
  <c r="O14" i="1"/>
</calcChain>
</file>

<file path=xl/sharedStrings.xml><?xml version="1.0" encoding="utf-8"?>
<sst xmlns="http://schemas.openxmlformats.org/spreadsheetml/2006/main" count="80" uniqueCount="61">
  <si>
    <t>BILAL FACTORY SHEIKHHPURA</t>
  </si>
  <si>
    <t>ID.No</t>
  </si>
  <si>
    <t>Name</t>
  </si>
  <si>
    <t>Designation</t>
  </si>
  <si>
    <t>Basic Salary</t>
  </si>
  <si>
    <t>Attendance</t>
  </si>
  <si>
    <t>Salary</t>
  </si>
  <si>
    <t>HRA</t>
  </si>
  <si>
    <t>DA</t>
  </si>
  <si>
    <t>Convence</t>
  </si>
  <si>
    <t>Gross Salary</t>
  </si>
  <si>
    <t>PF</t>
  </si>
  <si>
    <t>ESI</t>
  </si>
  <si>
    <t>In Hand Salary</t>
  </si>
  <si>
    <r>
      <t xml:space="preserve">EMPLOYEE </t>
    </r>
    <r>
      <rPr>
        <b/>
        <sz val="18"/>
        <color theme="5" tint="0.39997558519241921"/>
        <rFont val="Outfit"/>
      </rPr>
      <t xml:space="preserve">SALARY </t>
    </r>
    <r>
      <rPr>
        <b/>
        <sz val="18"/>
        <color theme="0"/>
        <rFont val="Outfit"/>
      </rPr>
      <t>SHEET OF OCTOBER</t>
    </r>
  </si>
  <si>
    <t>ESF101</t>
  </si>
  <si>
    <t>ESF102</t>
  </si>
  <si>
    <t>ESF103</t>
  </si>
  <si>
    <t>ESF104</t>
  </si>
  <si>
    <t>ESF105</t>
  </si>
  <si>
    <t>ESF106</t>
  </si>
  <si>
    <t>ESF107</t>
  </si>
  <si>
    <t>ESF108</t>
  </si>
  <si>
    <t>ESF109</t>
  </si>
  <si>
    <t>ESF110</t>
  </si>
  <si>
    <t>ESF111</t>
  </si>
  <si>
    <t>ESF112</t>
  </si>
  <si>
    <t>ESF113</t>
  </si>
  <si>
    <t>ESF114</t>
  </si>
  <si>
    <t>ESF115</t>
  </si>
  <si>
    <t>ESF116</t>
  </si>
  <si>
    <t>ESF117</t>
  </si>
  <si>
    <t>ESF118</t>
  </si>
  <si>
    <t>ESF119</t>
  </si>
  <si>
    <t>ESF120</t>
  </si>
  <si>
    <t>ESF121</t>
  </si>
  <si>
    <t>Bilal</t>
  </si>
  <si>
    <t>Danish</t>
  </si>
  <si>
    <t>Awais</t>
  </si>
  <si>
    <t>Usman</t>
  </si>
  <si>
    <t>Ahmad</t>
  </si>
  <si>
    <t>Shavaiz</t>
  </si>
  <si>
    <t>Amjad</t>
  </si>
  <si>
    <t>Aslam</t>
  </si>
  <si>
    <t>Zain</t>
  </si>
  <si>
    <t>Rajesh</t>
  </si>
  <si>
    <t>Kumar</t>
  </si>
  <si>
    <t>Anas</t>
  </si>
  <si>
    <t>Hassan</t>
  </si>
  <si>
    <t>Umar</t>
  </si>
  <si>
    <t>Ali</t>
  </si>
  <si>
    <t>Hussnain</t>
  </si>
  <si>
    <t>Tayyab</t>
  </si>
  <si>
    <t>Amir</t>
  </si>
  <si>
    <t>Ahsan</t>
  </si>
  <si>
    <t>SuperVisor</t>
  </si>
  <si>
    <t>Manager</t>
  </si>
  <si>
    <t>Staff</t>
  </si>
  <si>
    <t>A.Manager</t>
  </si>
  <si>
    <t>Overtime in Hrs</t>
  </si>
  <si>
    <t>Overtime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</si>
</sst>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&quot;hrs&quot;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Outfit"/>
    </font>
    <font>
      <b/>
      <sz val="18"/>
      <color theme="0"/>
      <name val="Outfit"/>
    </font>
    <font>
      <b/>
      <sz val="18"/>
      <color theme="5" tint="0.39997558519241921"/>
      <name val="Outfit"/>
    </font>
    <font>
      <sz val="12"/>
      <color theme="0"/>
      <name val="Outfit"/>
    </font>
    <font>
      <sz val="8"/>
      <name val="Aptos Narrow"/>
      <family val="2"/>
      <scheme val="minor"/>
    </font>
    <font>
      <sz val="11"/>
      <color theme="1"/>
      <name val="Aptos Display"/>
      <family val="2"/>
      <scheme val="major"/>
    </font>
  </fonts>
  <fills count="1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5" borderId="1" xfId="0" applyFont="1" applyFill="1" applyBorder="1"/>
    <xf numFmtId="0" fontId="6" fillId="6" borderId="1" xfId="0" applyFont="1" applyFill="1" applyBorder="1"/>
    <xf numFmtId="0" fontId="0" fillId="7" borderId="1" xfId="0" applyFill="1" applyBorder="1"/>
    <xf numFmtId="0" fontId="0" fillId="8" borderId="1" xfId="0" applyFill="1" applyBorder="1" applyAlignment="1">
      <alignment horizontal="center"/>
    </xf>
    <xf numFmtId="0" fontId="0" fillId="9" borderId="1" xfId="0" applyFill="1" applyBorder="1"/>
    <xf numFmtId="1" fontId="0" fillId="10" borderId="1" xfId="0" applyNumberFormat="1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164" fontId="0" fillId="14" borderId="1" xfId="0" applyNumberFormat="1" applyFill="1" applyBorder="1"/>
    <xf numFmtId="1" fontId="0" fillId="3" borderId="1" xfId="0" applyNumberFormat="1" applyFill="1" applyBorder="1"/>
    <xf numFmtId="1" fontId="0" fillId="15" borderId="1" xfId="0" applyNumberFormat="1" applyFill="1" applyBorder="1"/>
    <xf numFmtId="1" fontId="0" fillId="8" borderId="1" xfId="0" applyNumberFormat="1" applyFill="1" applyBorder="1"/>
    <xf numFmtId="1" fontId="0" fillId="16" borderId="1" xfId="0" applyNumberFormat="1" applyFill="1" applyBorder="1"/>
    <xf numFmtId="1" fontId="0" fillId="8" borderId="0" xfId="0" applyNumberFormat="1" applyFill="1"/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E32F0-6CE1-4E41-8D10-B5886C3952BD}">
  <dimension ref="A1:O24"/>
  <sheetViews>
    <sheetView tabSelected="1" topLeftCell="B1" zoomScale="98" zoomScaleNormal="98" workbookViewId="0">
      <selection activeCell="F10" sqref="F10"/>
    </sheetView>
  </sheetViews>
  <sheetFormatPr defaultRowHeight="14.5" x14ac:dyDescent="0.35"/>
  <cols>
    <col min="1" max="1" width="10.1796875" customWidth="1"/>
    <col min="2" max="2" width="12.26953125" customWidth="1"/>
    <col min="3" max="3" width="13.453125" customWidth="1"/>
    <col min="4" max="4" width="14.26953125" customWidth="1"/>
    <col min="5" max="5" width="14.6328125" customWidth="1"/>
    <col min="6" max="6" width="10.08984375" customWidth="1"/>
    <col min="7" max="7" width="11.6328125" customWidth="1"/>
    <col min="9" max="10" width="12.6328125" customWidth="1"/>
    <col min="11" max="11" width="14.453125" customWidth="1"/>
    <col min="12" max="12" width="15.54296875" customWidth="1"/>
    <col min="15" max="15" width="16.90625" customWidth="1"/>
    <col min="16" max="16" width="8.453125" customWidth="1"/>
  </cols>
  <sheetData>
    <row r="1" spans="1:15" ht="37.5" customHeight="1" x14ac:dyDescent="0.35">
      <c r="A1" s="19" t="s">
        <v>14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spans="1:15" x14ac:dyDescent="0.35">
      <c r="A2" s="21" t="s">
        <v>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3"/>
    </row>
    <row r="3" spans="1:15" ht="31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2" t="s">
        <v>59</v>
      </c>
      <c r="K3" s="2" t="s">
        <v>60</v>
      </c>
      <c r="L3" s="1" t="s">
        <v>10</v>
      </c>
      <c r="M3" s="1" t="s">
        <v>11</v>
      </c>
      <c r="N3" s="1" t="s">
        <v>12</v>
      </c>
      <c r="O3" s="3" t="s">
        <v>13</v>
      </c>
    </row>
    <row r="4" spans="1:15" x14ac:dyDescent="0.35">
      <c r="A4" s="4" t="s">
        <v>15</v>
      </c>
      <c r="B4" s="5" t="s">
        <v>36</v>
      </c>
      <c r="C4" s="6" t="s">
        <v>55</v>
      </c>
      <c r="D4" s="7">
        <v>24174</v>
      </c>
      <c r="E4" s="8">
        <v>22</v>
      </c>
      <c r="F4" s="9">
        <f>D4/30*E4</f>
        <v>17727.599999999999</v>
      </c>
      <c r="G4" s="10">
        <v>7149</v>
      </c>
      <c r="H4" s="11">
        <v>4777</v>
      </c>
      <c r="I4" s="12">
        <v>3603</v>
      </c>
      <c r="J4" s="13">
        <v>29</v>
      </c>
      <c r="K4" s="14">
        <f>D4/30/8*J4</f>
        <v>2921.0249999999996</v>
      </c>
      <c r="L4" s="15">
        <f>F4+G4+H4+I4+K4</f>
        <v>36177.625</v>
      </c>
      <c r="M4" s="16">
        <f>F4*12/100</f>
        <v>2127.3119999999999</v>
      </c>
      <c r="N4" s="17">
        <v>25</v>
      </c>
      <c r="O4" s="14">
        <f t="shared" ref="O4:O24" si="0">L4-M4-N4</f>
        <v>34025.313000000002</v>
      </c>
    </row>
    <row r="5" spans="1:15" x14ac:dyDescent="0.35">
      <c r="A5" s="4" t="s">
        <v>16</v>
      </c>
      <c r="B5" s="5" t="s">
        <v>37</v>
      </c>
      <c r="C5" s="6" t="s">
        <v>56</v>
      </c>
      <c r="D5" s="7">
        <v>46095</v>
      </c>
      <c r="E5" s="8">
        <v>24</v>
      </c>
      <c r="F5" s="9">
        <f t="shared" ref="F5:F24" si="1">D5/30*E5</f>
        <v>36876</v>
      </c>
      <c r="G5" s="10">
        <v>6164</v>
      </c>
      <c r="H5" s="11">
        <v>4677</v>
      </c>
      <c r="I5" s="12">
        <v>4839</v>
      </c>
      <c r="J5" s="13">
        <v>41</v>
      </c>
      <c r="K5" s="14">
        <f t="shared" ref="K5:K24" si="2">D5/30/8*J5</f>
        <v>7874.5625</v>
      </c>
      <c r="L5" s="15">
        <f t="shared" ref="L5:L24" si="3">F5+G5+H5+I5+K5</f>
        <v>60430.5625</v>
      </c>
      <c r="M5" s="16">
        <f t="shared" ref="M5:M24" si="4">F5*12/100</f>
        <v>4425.12</v>
      </c>
      <c r="N5" s="17">
        <f t="shared" ref="N5:N24" si="5">F5*0.75/100</f>
        <v>276.57</v>
      </c>
      <c r="O5" s="14">
        <f t="shared" si="0"/>
        <v>55728.872499999998</v>
      </c>
    </row>
    <row r="6" spans="1:15" x14ac:dyDescent="0.35">
      <c r="A6" s="4" t="s">
        <v>17</v>
      </c>
      <c r="B6" s="5" t="s">
        <v>38</v>
      </c>
      <c r="C6" s="6" t="s">
        <v>57</v>
      </c>
      <c r="D6" s="7">
        <v>25116</v>
      </c>
      <c r="E6" s="8">
        <v>20</v>
      </c>
      <c r="F6" s="9">
        <f t="shared" si="1"/>
        <v>16744</v>
      </c>
      <c r="G6" s="10">
        <v>2375</v>
      </c>
      <c r="H6" s="11">
        <v>4443</v>
      </c>
      <c r="I6" s="12">
        <v>5764</v>
      </c>
      <c r="J6" s="13">
        <v>49</v>
      </c>
      <c r="K6" s="14">
        <f>D6/30/8*J6</f>
        <v>5127.8500000000004</v>
      </c>
      <c r="L6" s="15">
        <f>F6+G6+H6+I6+K6</f>
        <v>34453.85</v>
      </c>
      <c r="M6" s="18">
        <f>F6*12/100</f>
        <v>2009.28</v>
      </c>
      <c r="N6" s="17">
        <f t="shared" si="5"/>
        <v>125.58</v>
      </c>
      <c r="O6" s="14">
        <f t="shared" si="0"/>
        <v>32318.989999999998</v>
      </c>
    </row>
    <row r="7" spans="1:15" x14ac:dyDescent="0.35">
      <c r="A7" s="4" t="s">
        <v>18</v>
      </c>
      <c r="B7" s="5" t="s">
        <v>39</v>
      </c>
      <c r="C7" s="6" t="s">
        <v>55</v>
      </c>
      <c r="D7" s="7">
        <v>36347</v>
      </c>
      <c r="E7" s="8">
        <v>23</v>
      </c>
      <c r="F7" s="9">
        <f t="shared" si="1"/>
        <v>27866.033333333333</v>
      </c>
      <c r="G7" s="10">
        <v>5130</v>
      </c>
      <c r="H7" s="11">
        <v>6825</v>
      </c>
      <c r="I7" s="12">
        <v>5498</v>
      </c>
      <c r="J7" s="13">
        <v>24</v>
      </c>
      <c r="K7" s="14">
        <f t="shared" si="2"/>
        <v>3634.7</v>
      </c>
      <c r="L7" s="15">
        <f t="shared" si="3"/>
        <v>48953.73333333333</v>
      </c>
      <c r="M7" s="16">
        <f t="shared" si="4"/>
        <v>3343.9240000000004</v>
      </c>
      <c r="N7" s="17">
        <f t="shared" si="5"/>
        <v>208.99525000000003</v>
      </c>
      <c r="O7" s="14">
        <f t="shared" si="0"/>
        <v>45400.814083333331</v>
      </c>
    </row>
    <row r="8" spans="1:15" x14ac:dyDescent="0.35">
      <c r="A8" s="4" t="s">
        <v>19</v>
      </c>
      <c r="B8" s="5" t="s">
        <v>40</v>
      </c>
      <c r="C8" s="6" t="s">
        <v>58</v>
      </c>
      <c r="D8" s="7">
        <v>29532</v>
      </c>
      <c r="E8" s="8">
        <v>28</v>
      </c>
      <c r="F8" s="9">
        <f t="shared" si="1"/>
        <v>27563.200000000001</v>
      </c>
      <c r="G8" s="10">
        <v>6016</v>
      </c>
      <c r="H8" s="11">
        <v>2747</v>
      </c>
      <c r="I8" s="12">
        <v>2287</v>
      </c>
      <c r="J8" s="13">
        <v>60</v>
      </c>
      <c r="K8" s="14">
        <f t="shared" si="2"/>
        <v>7383</v>
      </c>
      <c r="L8" s="15">
        <f t="shared" si="3"/>
        <v>45996.2</v>
      </c>
      <c r="M8" s="16">
        <f t="shared" si="4"/>
        <v>3307.5840000000003</v>
      </c>
      <c r="N8" s="17">
        <f t="shared" si="5"/>
        <v>206.72400000000002</v>
      </c>
      <c r="O8" s="14">
        <f t="shared" si="0"/>
        <v>42481.891999999993</v>
      </c>
    </row>
    <row r="9" spans="1:15" x14ac:dyDescent="0.35">
      <c r="A9" s="4" t="s">
        <v>20</v>
      </c>
      <c r="B9" s="5" t="s">
        <v>41</v>
      </c>
      <c r="C9" s="6" t="s">
        <v>55</v>
      </c>
      <c r="D9" s="7">
        <v>40158</v>
      </c>
      <c r="E9" s="8">
        <v>24</v>
      </c>
      <c r="F9" s="9">
        <f t="shared" si="1"/>
        <v>32126.399999999998</v>
      </c>
      <c r="G9" s="10">
        <v>8175</v>
      </c>
      <c r="H9" s="11">
        <v>2949</v>
      </c>
      <c r="I9" s="12">
        <v>2120</v>
      </c>
      <c r="J9" s="13">
        <v>18</v>
      </c>
      <c r="K9" s="14">
        <f>D9/30/8*J9</f>
        <v>3011.85</v>
      </c>
      <c r="L9" s="15">
        <f t="shared" si="3"/>
        <v>48382.249999999993</v>
      </c>
      <c r="M9" s="16">
        <f t="shared" si="4"/>
        <v>3855.1679999999997</v>
      </c>
      <c r="N9" s="17">
        <f>F9*0.75/100</f>
        <v>240.94799999999998</v>
      </c>
      <c r="O9" s="14">
        <f t="shared" si="0"/>
        <v>44286.133999999998</v>
      </c>
    </row>
    <row r="10" spans="1:15" x14ac:dyDescent="0.35">
      <c r="A10" s="4" t="s">
        <v>21</v>
      </c>
      <c r="B10" s="5" t="s">
        <v>42</v>
      </c>
      <c r="C10" s="6" t="s">
        <v>56</v>
      </c>
      <c r="D10" s="7">
        <v>43194</v>
      </c>
      <c r="E10" s="8">
        <v>29</v>
      </c>
      <c r="F10" s="9">
        <f t="shared" si="1"/>
        <v>41754.199999999997</v>
      </c>
      <c r="G10" s="10">
        <v>8257</v>
      </c>
      <c r="H10" s="11">
        <v>5761</v>
      </c>
      <c r="I10" s="12">
        <v>2263</v>
      </c>
      <c r="J10" s="13">
        <v>14</v>
      </c>
      <c r="K10" s="14">
        <f t="shared" si="2"/>
        <v>2519.65</v>
      </c>
      <c r="L10" s="15">
        <f t="shared" si="3"/>
        <v>60554.85</v>
      </c>
      <c r="M10" s="16">
        <f t="shared" si="4"/>
        <v>5010.5039999999999</v>
      </c>
      <c r="N10" s="17">
        <f t="shared" si="5"/>
        <v>313.15649999999999</v>
      </c>
      <c r="O10" s="14">
        <f t="shared" si="0"/>
        <v>55231.1895</v>
      </c>
    </row>
    <row r="11" spans="1:15" x14ac:dyDescent="0.35">
      <c r="A11" s="4" t="s">
        <v>22</v>
      </c>
      <c r="B11" s="5" t="s">
        <v>43</v>
      </c>
      <c r="C11" s="6" t="s">
        <v>58</v>
      </c>
      <c r="D11" s="7">
        <v>21654</v>
      </c>
      <c r="E11" s="8">
        <v>23</v>
      </c>
      <c r="F11" s="9">
        <f t="shared" si="1"/>
        <v>16601.399999999998</v>
      </c>
      <c r="G11" s="10">
        <v>5760</v>
      </c>
      <c r="H11" s="11">
        <v>5233</v>
      </c>
      <c r="I11" s="12">
        <v>5022</v>
      </c>
      <c r="J11" s="13">
        <v>57</v>
      </c>
      <c r="K11" s="14">
        <f t="shared" si="2"/>
        <v>5142.8249999999998</v>
      </c>
      <c r="L11" s="15">
        <f t="shared" si="3"/>
        <v>37759.224999999999</v>
      </c>
      <c r="M11" s="16">
        <f t="shared" si="4"/>
        <v>1992.1679999999999</v>
      </c>
      <c r="N11" s="17">
        <f t="shared" si="5"/>
        <v>124.51049999999999</v>
      </c>
      <c r="O11" s="14">
        <f t="shared" si="0"/>
        <v>35642.546500000004</v>
      </c>
    </row>
    <row r="12" spans="1:15" x14ac:dyDescent="0.35">
      <c r="A12" s="4" t="s">
        <v>23</v>
      </c>
      <c r="B12" s="5" t="s">
        <v>38</v>
      </c>
      <c r="C12" s="6" t="s">
        <v>56</v>
      </c>
      <c r="D12" s="7">
        <v>23936</v>
      </c>
      <c r="E12" s="8">
        <v>24</v>
      </c>
      <c r="F12" s="9">
        <f t="shared" si="1"/>
        <v>19148.8</v>
      </c>
      <c r="G12" s="10">
        <v>7647</v>
      </c>
      <c r="H12" s="11">
        <v>4433</v>
      </c>
      <c r="I12" s="12">
        <v>5483</v>
      </c>
      <c r="J12" s="13">
        <v>40</v>
      </c>
      <c r="K12" s="14">
        <f t="shared" si="2"/>
        <v>3989.3333333333335</v>
      </c>
      <c r="L12" s="15">
        <f t="shared" si="3"/>
        <v>40701.133333333339</v>
      </c>
      <c r="M12" s="16">
        <f t="shared" si="4"/>
        <v>2297.8559999999998</v>
      </c>
      <c r="N12" s="17">
        <f t="shared" si="5"/>
        <v>143.61599999999999</v>
      </c>
      <c r="O12" s="14">
        <f t="shared" si="0"/>
        <v>38259.661333333337</v>
      </c>
    </row>
    <row r="13" spans="1:15" x14ac:dyDescent="0.35">
      <c r="A13" s="4" t="s">
        <v>24</v>
      </c>
      <c r="B13" s="5" t="s">
        <v>44</v>
      </c>
      <c r="C13" s="6" t="s">
        <v>57</v>
      </c>
      <c r="D13" s="7">
        <v>38847</v>
      </c>
      <c r="E13" s="8">
        <v>28</v>
      </c>
      <c r="F13" s="9">
        <f t="shared" si="1"/>
        <v>36257.200000000004</v>
      </c>
      <c r="G13" s="10">
        <v>7785</v>
      </c>
      <c r="H13" s="11">
        <v>2277</v>
      </c>
      <c r="I13" s="12">
        <v>4048</v>
      </c>
      <c r="J13" s="13">
        <v>30</v>
      </c>
      <c r="K13" s="14">
        <f t="shared" si="2"/>
        <v>4855.875</v>
      </c>
      <c r="L13" s="15">
        <f t="shared" si="3"/>
        <v>55223.075000000004</v>
      </c>
      <c r="M13" s="16">
        <f t="shared" si="4"/>
        <v>4350.8640000000005</v>
      </c>
      <c r="N13" s="17">
        <f t="shared" si="5"/>
        <v>271.92900000000003</v>
      </c>
      <c r="O13" s="14">
        <f t="shared" si="0"/>
        <v>50600.282000000007</v>
      </c>
    </row>
    <row r="14" spans="1:15" x14ac:dyDescent="0.35">
      <c r="A14" s="4" t="s">
        <v>25</v>
      </c>
      <c r="B14" s="5" t="s">
        <v>39</v>
      </c>
      <c r="C14" s="6" t="s">
        <v>57</v>
      </c>
      <c r="D14" s="7">
        <v>48159</v>
      </c>
      <c r="E14" s="8">
        <v>24</v>
      </c>
      <c r="F14" s="9">
        <f t="shared" si="1"/>
        <v>38527.199999999997</v>
      </c>
      <c r="G14" s="10">
        <v>8785</v>
      </c>
      <c r="H14" s="11">
        <v>3133</v>
      </c>
      <c r="I14" s="12">
        <v>5592</v>
      </c>
      <c r="J14" s="13">
        <v>36</v>
      </c>
      <c r="K14" s="14">
        <f t="shared" si="2"/>
        <v>7223.8499999999995</v>
      </c>
      <c r="L14" s="15">
        <f t="shared" si="3"/>
        <v>63261.049999999996</v>
      </c>
      <c r="M14" s="16">
        <f t="shared" si="4"/>
        <v>4623.2639999999992</v>
      </c>
      <c r="N14" s="17">
        <f t="shared" si="5"/>
        <v>288.95399999999995</v>
      </c>
      <c r="O14" s="14">
        <f t="shared" si="0"/>
        <v>58348.831999999995</v>
      </c>
    </row>
    <row r="15" spans="1:15" x14ac:dyDescent="0.35">
      <c r="A15" s="4" t="s">
        <v>26</v>
      </c>
      <c r="B15" s="5" t="s">
        <v>45</v>
      </c>
      <c r="C15" s="6" t="s">
        <v>56</v>
      </c>
      <c r="D15" s="7">
        <v>34834</v>
      </c>
      <c r="E15" s="8">
        <v>30</v>
      </c>
      <c r="F15" s="9">
        <f t="shared" si="1"/>
        <v>34834</v>
      </c>
      <c r="G15" s="10">
        <v>5029</v>
      </c>
      <c r="H15" s="11">
        <v>5167</v>
      </c>
      <c r="I15" s="12">
        <v>5721</v>
      </c>
      <c r="J15" s="13">
        <v>35</v>
      </c>
      <c r="K15" s="14">
        <f t="shared" si="2"/>
        <v>5079.9583333333339</v>
      </c>
      <c r="L15" s="15">
        <f t="shared" si="3"/>
        <v>55830.958333333336</v>
      </c>
      <c r="M15" s="16">
        <f t="shared" si="4"/>
        <v>4180.08</v>
      </c>
      <c r="N15" s="17">
        <f t="shared" si="5"/>
        <v>261.255</v>
      </c>
      <c r="O15" s="14">
        <f t="shared" si="0"/>
        <v>51389.623333333337</v>
      </c>
    </row>
    <row r="16" spans="1:15" x14ac:dyDescent="0.35">
      <c r="A16" s="4" t="s">
        <v>27</v>
      </c>
      <c r="B16" s="5" t="s">
        <v>46</v>
      </c>
      <c r="C16" s="6" t="s">
        <v>57</v>
      </c>
      <c r="D16" s="7">
        <v>23849</v>
      </c>
      <c r="E16" s="8">
        <v>26</v>
      </c>
      <c r="F16" s="9">
        <f t="shared" si="1"/>
        <v>20669.133333333335</v>
      </c>
      <c r="G16" s="10">
        <v>7978</v>
      </c>
      <c r="H16" s="11">
        <v>4391</v>
      </c>
      <c r="I16" s="12">
        <v>3911</v>
      </c>
      <c r="J16" s="13">
        <v>29</v>
      </c>
      <c r="K16" s="14">
        <f t="shared" si="2"/>
        <v>2881.7541666666666</v>
      </c>
      <c r="L16" s="15">
        <f t="shared" si="3"/>
        <v>39830.887499999997</v>
      </c>
      <c r="M16" s="16">
        <f t="shared" si="4"/>
        <v>2480.2960000000003</v>
      </c>
      <c r="N16" s="17">
        <f t="shared" si="5"/>
        <v>155.01850000000002</v>
      </c>
      <c r="O16" s="14">
        <f t="shared" si="0"/>
        <v>37195.572999999997</v>
      </c>
    </row>
    <row r="17" spans="1:15" x14ac:dyDescent="0.35">
      <c r="A17" s="4" t="s">
        <v>28</v>
      </c>
      <c r="B17" s="5" t="s">
        <v>47</v>
      </c>
      <c r="C17" s="6" t="s">
        <v>57</v>
      </c>
      <c r="D17" s="7">
        <v>34341</v>
      </c>
      <c r="E17" s="8">
        <v>22</v>
      </c>
      <c r="F17" s="9">
        <f t="shared" si="1"/>
        <v>25183.4</v>
      </c>
      <c r="G17" s="10">
        <v>9481</v>
      </c>
      <c r="H17" s="11">
        <v>5412</v>
      </c>
      <c r="I17" s="12">
        <v>3446</v>
      </c>
      <c r="J17" s="13">
        <v>49</v>
      </c>
      <c r="K17" s="14">
        <f t="shared" si="2"/>
        <v>7011.2875000000004</v>
      </c>
      <c r="L17" s="15">
        <f t="shared" si="3"/>
        <v>50533.6875</v>
      </c>
      <c r="M17" s="16">
        <f t="shared" si="4"/>
        <v>3022.0080000000003</v>
      </c>
      <c r="N17" s="17">
        <f t="shared" si="5"/>
        <v>188.87550000000002</v>
      </c>
      <c r="O17" s="14">
        <f t="shared" si="0"/>
        <v>47322.803999999996</v>
      </c>
    </row>
    <row r="18" spans="1:15" x14ac:dyDescent="0.35">
      <c r="A18" s="4" t="s">
        <v>29</v>
      </c>
      <c r="B18" s="5" t="s">
        <v>48</v>
      </c>
      <c r="C18" s="6" t="s">
        <v>57</v>
      </c>
      <c r="D18" s="7">
        <v>49037</v>
      </c>
      <c r="E18" s="8">
        <v>28</v>
      </c>
      <c r="F18" s="9">
        <f t="shared" si="1"/>
        <v>45767.866666666669</v>
      </c>
      <c r="G18" s="10">
        <v>9868</v>
      </c>
      <c r="H18" s="11">
        <v>6160</v>
      </c>
      <c r="I18" s="12">
        <v>3565</v>
      </c>
      <c r="J18" s="13">
        <v>57</v>
      </c>
      <c r="K18" s="14">
        <f t="shared" si="2"/>
        <v>11646.2875</v>
      </c>
      <c r="L18" s="15">
        <f t="shared" si="3"/>
        <v>77007.154166666674</v>
      </c>
      <c r="M18" s="16">
        <f t="shared" si="4"/>
        <v>5492.1440000000002</v>
      </c>
      <c r="N18" s="17">
        <f t="shared" si="5"/>
        <v>343.25900000000001</v>
      </c>
      <c r="O18" s="14">
        <f t="shared" si="0"/>
        <v>71171.751166666669</v>
      </c>
    </row>
    <row r="19" spans="1:15" x14ac:dyDescent="0.35">
      <c r="A19" s="4" t="s">
        <v>30</v>
      </c>
      <c r="B19" s="5" t="s">
        <v>49</v>
      </c>
      <c r="C19" s="6" t="s">
        <v>56</v>
      </c>
      <c r="D19" s="7">
        <v>30989</v>
      </c>
      <c r="E19" s="8">
        <v>21</v>
      </c>
      <c r="F19" s="9">
        <f t="shared" si="1"/>
        <v>21692.3</v>
      </c>
      <c r="G19" s="10">
        <v>2042</v>
      </c>
      <c r="H19" s="11">
        <v>6679</v>
      </c>
      <c r="I19" s="12">
        <v>4234</v>
      </c>
      <c r="J19" s="13">
        <v>59</v>
      </c>
      <c r="K19" s="14">
        <f t="shared" si="2"/>
        <v>7618.1291666666666</v>
      </c>
      <c r="L19" s="15">
        <f t="shared" si="3"/>
        <v>42265.429166666669</v>
      </c>
      <c r="M19" s="16">
        <f t="shared" si="4"/>
        <v>2603.0759999999996</v>
      </c>
      <c r="N19" s="17">
        <f t="shared" si="5"/>
        <v>162.69224999999997</v>
      </c>
      <c r="O19" s="14">
        <f t="shared" si="0"/>
        <v>39499.660916666668</v>
      </c>
    </row>
    <row r="20" spans="1:15" x14ac:dyDescent="0.35">
      <c r="A20" s="4" t="s">
        <v>31</v>
      </c>
      <c r="B20" s="5" t="s">
        <v>50</v>
      </c>
      <c r="C20" s="6" t="s">
        <v>55</v>
      </c>
      <c r="D20" s="7">
        <v>49061</v>
      </c>
      <c r="E20" s="8">
        <v>30</v>
      </c>
      <c r="F20" s="9">
        <f t="shared" si="1"/>
        <v>49061</v>
      </c>
      <c r="G20" s="10">
        <v>4484</v>
      </c>
      <c r="H20" s="11">
        <v>6075</v>
      </c>
      <c r="I20" s="12">
        <v>2117</v>
      </c>
      <c r="J20" s="13">
        <v>21</v>
      </c>
      <c r="K20" s="14">
        <f t="shared" si="2"/>
        <v>4292.8374999999996</v>
      </c>
      <c r="L20" s="15">
        <f t="shared" si="3"/>
        <v>66029.837499999994</v>
      </c>
      <c r="M20" s="16">
        <f t="shared" si="4"/>
        <v>5887.32</v>
      </c>
      <c r="N20" s="17">
        <f t="shared" si="5"/>
        <v>367.95749999999998</v>
      </c>
      <c r="O20" s="14">
        <f t="shared" si="0"/>
        <v>59774.559999999998</v>
      </c>
    </row>
    <row r="21" spans="1:15" x14ac:dyDescent="0.35">
      <c r="A21" s="4" t="s">
        <v>32</v>
      </c>
      <c r="B21" s="5" t="s">
        <v>51</v>
      </c>
      <c r="C21" s="6" t="s">
        <v>58</v>
      </c>
      <c r="D21" s="7">
        <v>41955</v>
      </c>
      <c r="E21" s="8">
        <v>29</v>
      </c>
      <c r="F21" s="9">
        <f t="shared" si="1"/>
        <v>40556.5</v>
      </c>
      <c r="G21" s="10">
        <v>4639</v>
      </c>
      <c r="H21" s="11">
        <v>3094</v>
      </c>
      <c r="I21" s="12">
        <v>3891</v>
      </c>
      <c r="J21" s="13">
        <v>37</v>
      </c>
      <c r="K21" s="14">
        <f t="shared" si="2"/>
        <v>6468.0625</v>
      </c>
      <c r="L21" s="15">
        <f t="shared" si="3"/>
        <v>58648.5625</v>
      </c>
      <c r="M21" s="16">
        <f t="shared" si="4"/>
        <v>4866.78</v>
      </c>
      <c r="N21" s="17">
        <f t="shared" si="5"/>
        <v>304.17374999999998</v>
      </c>
      <c r="O21" s="14">
        <f t="shared" si="0"/>
        <v>53477.608749999999</v>
      </c>
    </row>
    <row r="22" spans="1:15" x14ac:dyDescent="0.35">
      <c r="A22" s="4" t="s">
        <v>33</v>
      </c>
      <c r="B22" s="5" t="s">
        <v>52</v>
      </c>
      <c r="C22" s="6" t="s">
        <v>55</v>
      </c>
      <c r="D22" s="7">
        <v>27813</v>
      </c>
      <c r="E22" s="8">
        <v>26</v>
      </c>
      <c r="F22" s="9">
        <f t="shared" si="1"/>
        <v>24104.600000000002</v>
      </c>
      <c r="G22" s="10">
        <v>5265</v>
      </c>
      <c r="H22" s="11">
        <v>2023</v>
      </c>
      <c r="I22" s="12">
        <v>4899</v>
      </c>
      <c r="J22" s="13">
        <v>48</v>
      </c>
      <c r="K22" s="14">
        <f t="shared" si="2"/>
        <v>5562.6</v>
      </c>
      <c r="L22" s="15">
        <f t="shared" si="3"/>
        <v>41854.200000000004</v>
      </c>
      <c r="M22" s="16">
        <f t="shared" si="4"/>
        <v>2892.5520000000001</v>
      </c>
      <c r="N22" s="17">
        <f t="shared" si="5"/>
        <v>180.78450000000001</v>
      </c>
      <c r="O22" s="14">
        <f t="shared" si="0"/>
        <v>38780.863499999999</v>
      </c>
    </row>
    <row r="23" spans="1:15" x14ac:dyDescent="0.35">
      <c r="A23" s="4" t="s">
        <v>34</v>
      </c>
      <c r="B23" s="5" t="s">
        <v>53</v>
      </c>
      <c r="C23" s="6" t="s">
        <v>57</v>
      </c>
      <c r="D23" s="7">
        <v>37277</v>
      </c>
      <c r="E23" s="8">
        <v>25</v>
      </c>
      <c r="F23" s="9">
        <f t="shared" si="1"/>
        <v>31064.166666666664</v>
      </c>
      <c r="G23" s="10">
        <v>8175</v>
      </c>
      <c r="H23" s="11">
        <v>4622</v>
      </c>
      <c r="I23" s="12">
        <v>2568</v>
      </c>
      <c r="J23" s="13">
        <v>29</v>
      </c>
      <c r="K23" s="14">
        <f t="shared" si="2"/>
        <v>4504.3041666666668</v>
      </c>
      <c r="L23" s="15">
        <f t="shared" si="3"/>
        <v>50933.470833333333</v>
      </c>
      <c r="M23" s="16">
        <f t="shared" si="4"/>
        <v>3727.7</v>
      </c>
      <c r="N23" s="17">
        <f t="shared" si="5"/>
        <v>232.98124999999999</v>
      </c>
      <c r="O23" s="14">
        <f t="shared" si="0"/>
        <v>46972.789583333339</v>
      </c>
    </row>
    <row r="24" spans="1:15" x14ac:dyDescent="0.35">
      <c r="A24" s="4" t="s">
        <v>35</v>
      </c>
      <c r="B24" s="5" t="s">
        <v>54</v>
      </c>
      <c r="C24" s="6" t="s">
        <v>56</v>
      </c>
      <c r="D24" s="7">
        <v>42247</v>
      </c>
      <c r="E24" s="8">
        <v>25</v>
      </c>
      <c r="F24" s="9">
        <f t="shared" si="1"/>
        <v>35205.833333333336</v>
      </c>
      <c r="G24" s="10">
        <v>8023</v>
      </c>
      <c r="H24" s="11">
        <v>6199</v>
      </c>
      <c r="I24" s="12">
        <v>4696</v>
      </c>
      <c r="J24" s="13">
        <v>19</v>
      </c>
      <c r="K24" s="14">
        <f t="shared" si="2"/>
        <v>3344.5541666666668</v>
      </c>
      <c r="L24" s="15">
        <f t="shared" si="3"/>
        <v>57468.387500000004</v>
      </c>
      <c r="M24" s="16">
        <f t="shared" si="4"/>
        <v>4224.7</v>
      </c>
      <c r="N24" s="17">
        <f t="shared" si="5"/>
        <v>264.04374999999999</v>
      </c>
      <c r="O24" s="14">
        <f t="shared" si="0"/>
        <v>52979.64375000001</v>
      </c>
    </row>
  </sheetData>
  <mergeCells count="2">
    <mergeCell ref="A1:O1"/>
    <mergeCell ref="A2:O2"/>
  </mergeCells>
  <phoneticPr fontId="5" type="noConversion"/>
  <dataValidations count="1">
    <dataValidation type="list" allowBlank="1" showInputMessage="1" showErrorMessage="1" sqref="C4:C24" xr:uid="{4779451F-AA7A-498B-8ED3-B59696CCCA0E}">
      <formula1>"Staff,SuperVisor,Manager,A.Manager"</formula1>
    </dataValidation>
  </dataValidations>
  <pageMargins left="0.7" right="0.7" top="0.75" bottom="0.75" header="0.3" footer="0.3"/>
  <pageSetup paperSize="9" scale="66" orientation="landscape" r:id="rId1"/>
  <colBreaks count="1" manualBreakCount="1">
    <brk id="1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i5</dc:creator>
  <cp:lastModifiedBy>Bilal Saeed</cp:lastModifiedBy>
  <cp:lastPrinted>2026-04-02T10:58:24Z</cp:lastPrinted>
  <dcterms:created xsi:type="dcterms:W3CDTF">2025-09-19T04:28:36Z</dcterms:created>
  <dcterms:modified xsi:type="dcterms:W3CDTF">2026-05-17T18:38:14Z</dcterms:modified>
</cp:coreProperties>
</file>